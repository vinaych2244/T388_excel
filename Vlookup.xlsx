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 chidapareddi\OneDrive\Documents\T388_excel\"/>
    </mc:Choice>
  </mc:AlternateContent>
  <xr:revisionPtr revIDLastSave="0" documentId="13_ncr:1_{A2AF4012-2D42-4236-8505-E3E569F9C35C}" xr6:coauthVersionLast="47" xr6:coauthVersionMax="47" xr10:uidLastSave="{00000000-0000-0000-0000-000000000000}"/>
  <bookViews>
    <workbookView xWindow="-110" yWindow="-110" windowWidth="19420" windowHeight="10300" xr2:uid="{4E0E2F73-36BB-4565-86E0-0F4C787B9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G14" i="1"/>
  <c r="H13" i="1"/>
  <c r="H8" i="1"/>
  <c r="H9" i="1"/>
  <c r="H10" i="1"/>
  <c r="H11" i="1"/>
  <c r="H7" i="1"/>
  <c r="G13" i="1"/>
  <c r="D30" i="1"/>
  <c r="D31" i="1"/>
  <c r="D32" i="1"/>
  <c r="D29" i="1"/>
  <c r="G10" i="1"/>
  <c r="G11" i="1"/>
  <c r="G9" i="1"/>
  <c r="G8" i="1"/>
  <c r="G7" i="1"/>
</calcChain>
</file>

<file path=xl/sharedStrings.xml><?xml version="1.0" encoding="utf-8"?>
<sst xmlns="http://schemas.openxmlformats.org/spreadsheetml/2006/main" count="124" uniqueCount="33">
  <si>
    <t>order_id</t>
  </si>
  <si>
    <t>region</t>
  </si>
  <si>
    <t>category</t>
  </si>
  <si>
    <t>sales</t>
  </si>
  <si>
    <t>ORD100000</t>
  </si>
  <si>
    <t>East</t>
  </si>
  <si>
    <t>Clothing</t>
  </si>
  <si>
    <t>ORD100001</t>
  </si>
  <si>
    <t>West</t>
  </si>
  <si>
    <t>Electronics</t>
  </si>
  <si>
    <t>ORD100002</t>
  </si>
  <si>
    <t>North</t>
  </si>
  <si>
    <t>Home Care</t>
  </si>
  <si>
    <t>ORD100003</t>
  </si>
  <si>
    <t>ORD100004</t>
  </si>
  <si>
    <t>ORD100005</t>
  </si>
  <si>
    <t>Grocery</t>
  </si>
  <si>
    <t>ORD100006</t>
  </si>
  <si>
    <t>Personal Care</t>
  </si>
  <si>
    <t>ORD100007</t>
  </si>
  <si>
    <t>ORD100008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</si>
  <si>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</si>
  <si>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</si>
  <si>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</si>
  <si>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</si>
  <si>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</si>
  <si>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</si>
  <si>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</si>
  <si>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</si>
  <si>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ORD100016</t>
  </si>
  <si>
    <t>0RD115331</t>
  </si>
  <si>
    <t>INDEX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</si>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</sst>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mbria"/>
    </font>
    <font>
      <sz val="14"/>
      <color theme="1"/>
      <name val="Cambria"/>
    </font>
    <font>
      <sz val="14"/>
      <color theme="0"/>
      <name val="Cambria"/>
      <family val="1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C146-080D-49C8-986C-1F39933104A5}">
  <dimension ref="A1:R32"/>
  <sheetViews>
    <sheetView tabSelected="1" topLeftCell="A7" workbookViewId="0">
      <selection activeCell="F19" sqref="F19"/>
    </sheetView>
  </sheetViews>
  <sheetFormatPr defaultRowHeight="14.5" x14ac:dyDescent="0.35"/>
  <cols>
    <col min="1" max="1" width="14.7265625" bestFit="1" customWidth="1"/>
    <col min="2" max="2" width="8.90625" bestFit="1" customWidth="1"/>
    <col min="3" max="3" width="16.453125" bestFit="1" customWidth="1"/>
    <col min="4" max="4" width="11.1796875" bestFit="1" customWidth="1"/>
    <col min="6" max="7" width="14.7265625" bestFit="1" customWidth="1"/>
    <col min="8" max="8" width="26.453125" bestFit="1" customWidth="1"/>
  </cols>
  <sheetData>
    <row r="1" spans="1:8" ht="17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8" ht="17.5" x14ac:dyDescent="0.35">
      <c r="A2" s="2" t="s">
        <v>4</v>
      </c>
      <c r="B2" s="2" t="s">
        <v>5</v>
      </c>
      <c r="C2" s="2" t="s">
        <v>6</v>
      </c>
      <c r="D2" s="2">
        <v>713.49</v>
      </c>
    </row>
    <row r="3" spans="1:8" ht="17.5" x14ac:dyDescent="0.35">
      <c r="A3" s="3" t="s">
        <v>7</v>
      </c>
      <c r="B3" s="3" t="s">
        <v>8</v>
      </c>
      <c r="C3" s="3" t="s">
        <v>9</v>
      </c>
      <c r="D3" s="3">
        <v>3802.97</v>
      </c>
    </row>
    <row r="4" spans="1:8" ht="17.5" x14ac:dyDescent="0.35">
      <c r="A4" s="2" t="s">
        <v>10</v>
      </c>
      <c r="B4" s="2" t="s">
        <v>11</v>
      </c>
      <c r="C4" s="2" t="s">
        <v>12</v>
      </c>
      <c r="D4" s="2">
        <v>3588.97</v>
      </c>
    </row>
    <row r="5" spans="1:8" ht="17.5" x14ac:dyDescent="0.35">
      <c r="A5" s="3" t="s">
        <v>13</v>
      </c>
      <c r="B5" s="3" t="s">
        <v>5</v>
      </c>
      <c r="C5" s="3" t="s">
        <v>9</v>
      </c>
      <c r="D5" s="3">
        <v>1160.8599999999999</v>
      </c>
    </row>
    <row r="6" spans="1:8" ht="17.5" x14ac:dyDescent="0.35">
      <c r="A6" s="2" t="s">
        <v>14</v>
      </c>
      <c r="B6" s="2" t="s">
        <v>5</v>
      </c>
      <c r="C6" s="2" t="s">
        <v>9</v>
      </c>
      <c r="D6" s="2">
        <v>3071.32</v>
      </c>
      <c r="F6" s="1" t="s">
        <v>0</v>
      </c>
      <c r="G6" s="1" t="s">
        <v>3</v>
      </c>
    </row>
    <row r="7" spans="1:8" ht="17.5" x14ac:dyDescent="0.35">
      <c r="A7" s="3" t="s">
        <v>15</v>
      </c>
      <c r="B7" s="3" t="s">
        <v>8</v>
      </c>
      <c r="C7" s="3" t="s">
        <v>16</v>
      </c>
      <c r="D7" s="3">
        <v>2566.1799999999998</v>
      </c>
      <c r="F7" s="2" t="s">
        <v>4</v>
      </c>
      <c r="G7">
        <f>VLOOKUP(F7,A1:D18,4,FALSE)</f>
        <v>713.49</v>
      </c>
      <c r="H7" t="str">
        <f ca="1">_xlfn.FORMULATEXT(G7)</f>
        <v>=VLOOKUP(F7,A1:D18,4,FALSE)</v>
      </c>
    </row>
    <row r="8" spans="1:8" ht="17.5" x14ac:dyDescent="0.35">
      <c r="A8" s="2" t="s">
        <v>17</v>
      </c>
      <c r="B8" s="2" t="s">
        <v>11</v>
      </c>
      <c r="C8" s="2" t="s">
        <v>18</v>
      </c>
      <c r="D8" s="2">
        <v>398</v>
      </c>
      <c r="F8" s="2" t="s">
        <v>10</v>
      </c>
      <c r="G8">
        <f>VLOOKUP(F8,A2:D19,4,FALSE)</f>
        <v>3588.97</v>
      </c>
      <c r="H8" t="str">
        <f t="shared" ref="H8:H11" ca="1" si="0">_xlfn.FORMULATEXT(G8)</f>
        <v>=VLOOKUP(F8,A2:D19,4,FALSE)</v>
      </c>
    </row>
    <row r="9" spans="1:8" ht="17.5" x14ac:dyDescent="0.35">
      <c r="A9" s="3" t="s">
        <v>19</v>
      </c>
      <c r="B9" s="3" t="s">
        <v>11</v>
      </c>
      <c r="C9" s="3" t="s">
        <v>18</v>
      </c>
      <c r="D9" s="3">
        <v>1462.95</v>
      </c>
      <c r="F9" s="3" t="s">
        <v>19</v>
      </c>
      <c r="G9">
        <f>VLOOKUP(F9,A3:D20,4,FALSE)</f>
        <v>1462.95</v>
      </c>
      <c r="H9" t="str">
        <f t="shared" ca="1" si="0"/>
        <v>=VLOOKUP(F9,A3:D20,4,FALSE)</v>
      </c>
    </row>
    <row r="10" spans="1:8" ht="17.5" x14ac:dyDescent="0.35">
      <c r="A10" s="2" t="s">
        <v>20</v>
      </c>
      <c r="B10" s="2" t="s">
        <v>5</v>
      </c>
      <c r="C10" s="2" t="s">
        <v>18</v>
      </c>
      <c r="D10" s="2">
        <v>4997.47</v>
      </c>
      <c r="F10" s="2" t="s">
        <v>23</v>
      </c>
      <c r="G10">
        <f t="shared" ref="G10:G11" si="1">VLOOKUP(F10,A4:D21,4,FALSE)</f>
        <v>2581.42</v>
      </c>
      <c r="H10" t="str">
        <f t="shared" ca="1" si="0"/>
        <v>=VLOOKUP(F10,A4:D21,4,FALSE)</v>
      </c>
    </row>
    <row r="11" spans="1:8" ht="17.5" x14ac:dyDescent="0.35">
      <c r="A11" s="3" t="s">
        <v>21</v>
      </c>
      <c r="B11" s="3" t="s">
        <v>22</v>
      </c>
      <c r="C11" s="3" t="s">
        <v>16</v>
      </c>
      <c r="D11" s="3">
        <v>587.72</v>
      </c>
      <c r="F11" s="4" t="s">
        <v>30</v>
      </c>
      <c r="G11" t="e">
        <f t="shared" si="1"/>
        <v>#N/A</v>
      </c>
      <c r="H11" t="str">
        <f t="shared" ca="1" si="0"/>
        <v>=VLOOKUP(F11,A5:D22,4,FALSE)</v>
      </c>
    </row>
    <row r="12" spans="1:8" ht="17.5" x14ac:dyDescent="0.35">
      <c r="A12" s="2" t="s">
        <v>23</v>
      </c>
      <c r="B12" s="2" t="s">
        <v>5</v>
      </c>
      <c r="C12" s="2" t="s">
        <v>6</v>
      </c>
      <c r="D12" s="2">
        <v>2581.42</v>
      </c>
    </row>
    <row r="13" spans="1:8" ht="17.5" x14ac:dyDescent="0.35">
      <c r="A13" s="3" t="s">
        <v>24</v>
      </c>
      <c r="B13" s="3" t="s">
        <v>5</v>
      </c>
      <c r="C13" s="3" t="s">
        <v>6</v>
      </c>
      <c r="D13" s="3">
        <v>4261.74</v>
      </c>
      <c r="F13" s="6" t="s">
        <v>31</v>
      </c>
      <c r="G13" t="str">
        <f>INDEX(A1:A18,12)</f>
        <v>ORD100010</v>
      </c>
      <c r="H13" t="str">
        <f ca="1">_xlfn.FORMULATEXT(G13)</f>
        <v>=INDEX(A1:A18,12)</v>
      </c>
    </row>
    <row r="14" spans="1:8" ht="17.5" x14ac:dyDescent="0.35">
      <c r="A14" s="2" t="s">
        <v>25</v>
      </c>
      <c r="B14" s="2" t="s">
        <v>5</v>
      </c>
      <c r="C14" s="2" t="s">
        <v>12</v>
      </c>
      <c r="D14" s="2">
        <v>1573.19</v>
      </c>
      <c r="G14" t="str">
        <f>INDEX(A1:D18,10,3)</f>
        <v>Personal Care</v>
      </c>
    </row>
    <row r="15" spans="1:8" ht="17.5" x14ac:dyDescent="0.35">
      <c r="A15" s="3" t="s">
        <v>26</v>
      </c>
      <c r="B15" s="3" t="s">
        <v>5</v>
      </c>
      <c r="C15" s="3" t="s">
        <v>6</v>
      </c>
      <c r="D15" s="3">
        <v>1377.47</v>
      </c>
    </row>
    <row r="16" spans="1:8" ht="17.5" x14ac:dyDescent="0.35">
      <c r="A16" s="2" t="s">
        <v>27</v>
      </c>
      <c r="B16" s="2" t="s">
        <v>8</v>
      </c>
      <c r="C16" s="2" t="s">
        <v>6</v>
      </c>
      <c r="D16" s="2">
        <v>4464.8900000000003</v>
      </c>
    </row>
    <row r="17" spans="1:18" ht="17.5" x14ac:dyDescent="0.35">
      <c r="A17" s="3" t="s">
        <v>28</v>
      </c>
      <c r="B17" s="3" t="s">
        <v>11</v>
      </c>
      <c r="C17" s="3" t="s">
        <v>18</v>
      </c>
      <c r="D17" s="3">
        <v>1593.67</v>
      </c>
      <c r="F17" s="7" t="s">
        <v>32</v>
      </c>
    </row>
    <row r="18" spans="1:18" ht="17.5" x14ac:dyDescent="0.35">
      <c r="A18" s="2" t="s">
        <v>29</v>
      </c>
      <c r="B18" s="2" t="s">
        <v>8</v>
      </c>
      <c r="C18" s="2" t="s">
        <v>9</v>
      </c>
      <c r="D18" s="2">
        <v>3292.32</v>
      </c>
      <c r="F18">
        <f>INDEX(A1:D18,MATCH(F10,A1:A18,0),4)</f>
        <v>2581.42</v>
      </c>
    </row>
    <row r="20" spans="1:18" ht="17.5" x14ac:dyDescent="0.35">
      <c r="B20" s="2" t="s">
        <v>10</v>
      </c>
    </row>
    <row r="21" spans="1:18" ht="17.5" x14ac:dyDescent="0.35">
      <c r="A21" s="1" t="s">
        <v>0</v>
      </c>
      <c r="B21" s="2" t="s">
        <v>14</v>
      </c>
      <c r="C21" s="3" t="s">
        <v>7</v>
      </c>
      <c r="D21" s="2" t="s">
        <v>10</v>
      </c>
      <c r="E21" s="3" t="s">
        <v>13</v>
      </c>
      <c r="F21" s="2" t="s">
        <v>14</v>
      </c>
      <c r="G21" s="3" t="s">
        <v>15</v>
      </c>
      <c r="H21" s="2" t="s">
        <v>17</v>
      </c>
      <c r="I21" s="3" t="s">
        <v>19</v>
      </c>
      <c r="J21" s="2" t="s">
        <v>20</v>
      </c>
      <c r="K21" s="3" t="s">
        <v>21</v>
      </c>
      <c r="L21" s="2" t="s">
        <v>23</v>
      </c>
      <c r="M21" s="3" t="s">
        <v>24</v>
      </c>
      <c r="N21" s="2" t="s">
        <v>25</v>
      </c>
      <c r="O21" s="3" t="s">
        <v>26</v>
      </c>
      <c r="P21" s="2" t="s">
        <v>27</v>
      </c>
      <c r="Q21" s="3" t="s">
        <v>28</v>
      </c>
      <c r="R21" s="2" t="s">
        <v>29</v>
      </c>
    </row>
    <row r="22" spans="1:18" ht="17.5" x14ac:dyDescent="0.35">
      <c r="A22" s="1" t="s">
        <v>1</v>
      </c>
      <c r="B22" s="2" t="s">
        <v>17</v>
      </c>
      <c r="C22" s="3" t="s">
        <v>8</v>
      </c>
      <c r="D22" s="2" t="s">
        <v>11</v>
      </c>
      <c r="E22" s="3" t="s">
        <v>5</v>
      </c>
      <c r="F22" s="2" t="s">
        <v>5</v>
      </c>
      <c r="G22" s="3" t="s">
        <v>8</v>
      </c>
      <c r="H22" s="2" t="s">
        <v>11</v>
      </c>
      <c r="I22" s="3" t="s">
        <v>11</v>
      </c>
      <c r="J22" s="2" t="s">
        <v>5</v>
      </c>
      <c r="K22" s="3" t="s">
        <v>22</v>
      </c>
      <c r="L22" s="2" t="s">
        <v>5</v>
      </c>
      <c r="M22" s="3" t="s">
        <v>5</v>
      </c>
      <c r="N22" s="2" t="s">
        <v>5</v>
      </c>
      <c r="O22" s="3" t="s">
        <v>5</v>
      </c>
      <c r="P22" s="2" t="s">
        <v>8</v>
      </c>
      <c r="Q22" s="3" t="s">
        <v>11</v>
      </c>
      <c r="R22" s="2" t="s">
        <v>8</v>
      </c>
    </row>
    <row r="23" spans="1:18" ht="17.5" x14ac:dyDescent="0.35">
      <c r="A23" s="1" t="s">
        <v>2</v>
      </c>
      <c r="B23" s="2" t="s">
        <v>20</v>
      </c>
      <c r="C23" s="3" t="s">
        <v>9</v>
      </c>
      <c r="D23" s="2" t="s">
        <v>12</v>
      </c>
      <c r="E23" s="3" t="s">
        <v>9</v>
      </c>
      <c r="F23" s="2" t="s">
        <v>9</v>
      </c>
      <c r="G23" s="3" t="s">
        <v>16</v>
      </c>
      <c r="H23" s="2" t="s">
        <v>18</v>
      </c>
      <c r="I23" s="3" t="s">
        <v>18</v>
      </c>
      <c r="J23" s="2" t="s">
        <v>18</v>
      </c>
      <c r="K23" s="3" t="s">
        <v>16</v>
      </c>
      <c r="L23" s="2" t="s">
        <v>6</v>
      </c>
      <c r="M23" s="3" t="s">
        <v>6</v>
      </c>
      <c r="N23" s="2" t="s">
        <v>12</v>
      </c>
      <c r="O23" s="3" t="s">
        <v>6</v>
      </c>
      <c r="P23" s="2" t="s">
        <v>6</v>
      </c>
      <c r="Q23" s="3" t="s">
        <v>18</v>
      </c>
      <c r="R23" s="2" t="s">
        <v>9</v>
      </c>
    </row>
    <row r="24" spans="1:18" ht="17.5" x14ac:dyDescent="0.35">
      <c r="A24" s="1" t="s">
        <v>3</v>
      </c>
      <c r="B24" s="2">
        <v>713.49</v>
      </c>
      <c r="C24" s="3">
        <v>3802.97</v>
      </c>
      <c r="D24" s="2">
        <v>3588.97</v>
      </c>
      <c r="E24" s="3">
        <v>1160.8599999999999</v>
      </c>
      <c r="F24" s="2">
        <v>3071.32</v>
      </c>
      <c r="G24" s="3">
        <v>2566.1799999999998</v>
      </c>
      <c r="H24" s="2">
        <v>398</v>
      </c>
      <c r="I24" s="3">
        <v>1462.95</v>
      </c>
      <c r="J24" s="2">
        <v>4997.47</v>
      </c>
      <c r="K24" s="3">
        <v>587.72</v>
      </c>
      <c r="L24" s="2">
        <v>2581.42</v>
      </c>
      <c r="M24" s="3">
        <v>4261.74</v>
      </c>
      <c r="N24" s="2">
        <v>1573.19</v>
      </c>
      <c r="O24" s="3">
        <v>1377.47</v>
      </c>
      <c r="P24" s="2">
        <v>4464.8900000000003</v>
      </c>
      <c r="Q24" s="3">
        <v>1593.67</v>
      </c>
      <c r="R24" s="2">
        <v>3292.32</v>
      </c>
    </row>
    <row r="27" spans="1:18" ht="17.5" x14ac:dyDescent="0.35">
      <c r="C27" s="5"/>
      <c r="D27" s="5"/>
      <c r="E27" s="5"/>
      <c r="F27" s="5"/>
    </row>
    <row r="29" spans="1:18" ht="17.5" x14ac:dyDescent="0.35">
      <c r="C29" s="2" t="s">
        <v>10</v>
      </c>
      <c r="D29" s="2">
        <f>HLOOKUP(C29,$A$21:$R$24,4,FALSE)</f>
        <v>3588.97</v>
      </c>
    </row>
    <row r="30" spans="1:18" ht="17.5" x14ac:dyDescent="0.35">
      <c r="C30" s="2" t="s">
        <v>14</v>
      </c>
      <c r="D30" s="2">
        <f t="shared" ref="D30:D32" si="2">HLOOKUP(C30,$A$21:$R$24,4,FALSE)</f>
        <v>713.49</v>
      </c>
    </row>
    <row r="31" spans="1:18" ht="17.5" x14ac:dyDescent="0.35">
      <c r="C31" s="2" t="s">
        <v>17</v>
      </c>
      <c r="D31" s="2">
        <f t="shared" si="2"/>
        <v>398</v>
      </c>
    </row>
    <row r="32" spans="1:18" ht="17.5" x14ac:dyDescent="0.35">
      <c r="C32" s="2" t="s">
        <v>20</v>
      </c>
      <c r="D32" s="2">
        <f t="shared" si="2"/>
        <v>4997.47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chidapareddi</dc:creator>
  <cp:lastModifiedBy>akshita chidapareddi</cp:lastModifiedBy>
  <dcterms:created xsi:type="dcterms:W3CDTF">2026-08-17T04:30:59Z</dcterms:created>
  <dcterms:modified xsi:type="dcterms:W3CDTF">2026-08-17T05:34:21Z</dcterms:modified>
</cp:coreProperties>
</file>