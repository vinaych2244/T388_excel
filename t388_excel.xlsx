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inay chidapareddi\OneDrive\Documents\T388_excel\"/>
    </mc:Choice>
  </mc:AlternateContent>
  <xr:revisionPtr revIDLastSave="0" documentId="13_ncr:1_{F2B25267-78D7-4D04-BD02-F23AF6E0B4AB}" xr6:coauthVersionLast="47" xr6:coauthVersionMax="47" xr10:uidLastSave="{00000000-0000-0000-0000-000000000000}"/>
  <bookViews>
    <workbookView xWindow="-110" yWindow="-110" windowWidth="19420" windowHeight="10300" activeTab="1" xr2:uid="{A8B67965-C95B-4B3E-A167-91AF85600403}"/>
  </bookViews>
  <sheets>
    <sheet name="Sheet3" sheetId="3" r:id="rId1"/>
    <sheet name="Sheet1" sheetId="1" r:id="rId2"/>
    <sheet name="Sheet4" sheetId="4" r:id="rId3"/>
    <sheet name="Sheet2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1" i="1" l="1"/>
  <c r="D12" i="1"/>
  <c r="D13" i="1"/>
  <c r="D14" i="1"/>
  <c r="D15" i="1"/>
  <c r="D16" i="1"/>
  <c r="D17" i="1"/>
  <c r="D18" i="1"/>
  <c r="D19" i="1"/>
  <c r="D10" i="1"/>
  <c r="L3" i="1"/>
  <c r="L4" i="1"/>
  <c r="L5" i="1"/>
  <c r="L6" i="1"/>
  <c r="L7" i="1"/>
  <c r="L2" i="1"/>
  <c r="F14" i="1"/>
  <c r="F15" i="1"/>
  <c r="F16" i="1"/>
  <c r="F17" i="1"/>
  <c r="F18" i="1"/>
  <c r="F19" i="1"/>
  <c r="F13" i="1"/>
  <c r="H3" i="1"/>
  <c r="H4" i="1"/>
  <c r="H5" i="1"/>
  <c r="H6" i="1"/>
  <c r="H7" i="1"/>
  <c r="H2" i="1"/>
  <c r="E12" i="1" a="1"/>
  <c r="E9" i="4"/>
  <c r="F3" i="4"/>
  <c r="F4" i="4"/>
  <c r="F5" i="4"/>
  <c r="F6" i="4"/>
  <c r="F7" i="4"/>
  <c r="F2" i="4"/>
  <c r="I37" i="1"/>
  <c r="C9" i="3"/>
  <c r="C10" i="3"/>
  <c r="E7" i="1"/>
  <c r="F7" i="1"/>
  <c r="E6" i="1"/>
  <c r="F6" i="1"/>
  <c r="E5" i="1"/>
  <c r="F5" i="1" s="1"/>
  <c r="E3" i="1"/>
  <c r="F3" i="1" s="1"/>
  <c r="E4" i="1"/>
  <c r="F4" i="1" s="1"/>
  <c r="E2" i="1"/>
  <c r="F2" i="1" s="1"/>
  <c r="E9" i="3" l="1"/>
  <c r="D9" i="3"/>
  <c r="E10" i="3"/>
  <c r="D10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<sst xmlns="http://schemas.openxmlformats.org/spreadsheetml/2006/main" count="87" uniqueCount="66">
  <si>
    <t>name</t>
  </si>
  <si>
    <t>salary</t>
  </si>
  <si>
    <t>ajit</t>
  </si>
  <si>
    <t>amar</t>
  </si>
  <si>
    <t>suman</t>
  </si>
  <si>
    <t>ID</t>
  </si>
  <si>
    <t>AGE</t>
  </si>
  <si>
    <t>ctrl +z</t>
  </si>
  <si>
    <t>Undo</t>
  </si>
  <si>
    <t>bonus</t>
  </si>
  <si>
    <t>Total salary</t>
  </si>
  <si>
    <t>ctrl +y</t>
  </si>
  <si>
    <t>Redo</t>
  </si>
  <si>
    <t>ctrl +a</t>
  </si>
  <si>
    <t>select all</t>
  </si>
  <si>
    <t>ctrl + n</t>
  </si>
  <si>
    <t>open new file</t>
  </si>
  <si>
    <t>kiran</t>
  </si>
  <si>
    <t>Ajit</t>
  </si>
  <si>
    <t>AJIT kumar</t>
  </si>
  <si>
    <t>AJIT k</t>
  </si>
  <si>
    <t>ctrl + f</t>
  </si>
  <si>
    <t xml:space="preserve">to find </t>
  </si>
  <si>
    <t>ctrl +h</t>
  </si>
  <si>
    <t>to replace</t>
  </si>
  <si>
    <t>aj23@gmail.com</t>
  </si>
  <si>
    <t>am24@gmail.com</t>
  </si>
  <si>
    <t>su25@gmail.com</t>
  </si>
  <si>
    <t>ki44@gmail.com</t>
  </si>
  <si>
    <t>AJ23@gmail.com</t>
  </si>
  <si>
    <t>AJ34@gmail.com</t>
  </si>
  <si>
    <t>aji23@gmail.com</t>
  </si>
  <si>
    <t>ama24@gmail.com</t>
  </si>
  <si>
    <t>sum25@gmail.com</t>
  </si>
  <si>
    <t>kir44@gmail.com</t>
  </si>
  <si>
    <t>AJI23@gmail.com</t>
  </si>
  <si>
    <t>AJI34@gmail.com</t>
  </si>
  <si>
    <t>ctrl + t</t>
  </si>
  <si>
    <t>to make a selected group of column a table</t>
  </si>
  <si>
    <t>email</t>
  </si>
  <si>
    <t>email2</t>
  </si>
  <si>
    <t>marks</t>
  </si>
  <si>
    <t>ajit kumar</t>
  </si>
  <si>
    <t xml:space="preserve">month </t>
  </si>
  <si>
    <t>share price</t>
  </si>
  <si>
    <t>Forecast(share price)</t>
  </si>
  <si>
    <t>Lower Confidence Bound(share price)</t>
  </si>
  <si>
    <t>Upper Confidence Bound(share price)</t>
  </si>
  <si>
    <t>Product</t>
  </si>
  <si>
    <t>Source</t>
  </si>
  <si>
    <t>Remark</t>
  </si>
  <si>
    <t>Unit price</t>
  </si>
  <si>
    <t>Qty</t>
  </si>
  <si>
    <t>sales</t>
  </si>
  <si>
    <t>Banana</t>
  </si>
  <si>
    <t>Apple</t>
  </si>
  <si>
    <t>Tomato</t>
  </si>
  <si>
    <t>Green Peas</t>
  </si>
  <si>
    <t>Cherry</t>
  </si>
  <si>
    <t>Spinach</t>
  </si>
  <si>
    <t>Fresh</t>
  </si>
  <si>
    <t>Frozen</t>
  </si>
  <si>
    <t>Fruit</t>
  </si>
  <si>
    <t>vegetable</t>
  </si>
  <si>
    <t>remark</t>
  </si>
  <si>
    <t>Grade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</si>
</sst>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3" fillId="0" borderId="0" xfId="1"/>
    <xf numFmtId="0" fontId="1" fillId="2" borderId="2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15" fontId="0" fillId="0" borderId="0" xfId="0" applyNumberFormat="1"/>
    <xf numFmtId="2" fontId="0" fillId="0" borderId="0" xfId="0" applyNumberFormat="1"/>
    <xf numFmtId="0" fontId="1" fillId="2" borderId="0" xfId="0" applyFont="1" applyFill="1" applyBorder="1" applyAlignment="1">
      <alignment horizontal="center" vertical="center"/>
    </xf>
    <xf numFmtId="0" fontId="4" fillId="0" borderId="0" xfId="1" applyFont="1"/>
    <xf numFmtId="9" fontId="0" fillId="0" borderId="0" xfId="2" applyFont="1"/>
  </cellXfs>
  <cellStyles count="3">
    <cellStyle name="Hyperlink" xfId="1" builtinId="8"/>
    <cellStyle name="Normal" xfId="0" builtinId="0"/>
    <cellStyle name="Percent" xfId="2" builtinId="5"/>
  </cellStyles>
  <dxfs count="3">
    <dxf>
      <numFmt numFmtId="2" formatCode="0.00"/>
    </dxf>
    <dxf>
      <numFmt numFmtId="2" formatCode="0.00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4560538560365919E-2"/>
          <c:y val="0.10979931164808665"/>
          <c:w val="0.94543942876705633"/>
          <c:h val="0.83528604378998084"/>
        </c:manualLayout>
      </c:layout>
      <c:lineChart>
        <c:grouping val="standard"/>
        <c:varyColors val="0"/>
        <c:ser>
          <c:idx val="0"/>
          <c:order val="0"/>
          <c:tx>
            <c:strRef>
              <c:f>Sheet3!$B$1</c:f>
              <c:strCache>
                <c:ptCount val="1"/>
                <c:pt idx="0">
                  <c:v>share price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Sheet3!$B$2:$B$10</c:f>
              <c:numCache>
                <c:formatCode>General</c:formatCode>
                <c:ptCount val="9"/>
                <c:pt idx="0">
                  <c:v>205</c:v>
                </c:pt>
                <c:pt idx="1">
                  <c:v>206.7</c:v>
                </c:pt>
                <c:pt idx="2">
                  <c:v>204.3</c:v>
                </c:pt>
                <c:pt idx="3">
                  <c:v>207.8</c:v>
                </c:pt>
                <c:pt idx="4">
                  <c:v>208.1</c:v>
                </c:pt>
                <c:pt idx="5">
                  <c:v>207.9</c:v>
                </c:pt>
                <c:pt idx="6">
                  <c:v>208.2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4D-455F-9E23-9B6990181022}"/>
            </c:ext>
          </c:extLst>
        </c:ser>
        <c:ser>
          <c:idx val="1"/>
          <c:order val="1"/>
          <c:tx>
            <c:strRef>
              <c:f>Sheet3!$C$1</c:f>
              <c:strCache>
                <c:ptCount val="1"/>
                <c:pt idx="0">
                  <c:v>Forecast(share price)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Sheet3!$A$2:$A$10</c:f>
              <c:numCache>
                <c:formatCode>d\-mmm\-yy</c:formatCode>
                <c:ptCount val="9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</c:numCache>
            </c:numRef>
          </c:cat>
          <c:val>
            <c:numRef>
              <c:f>Sheet3!$C$2:$C$10</c:f>
              <c:numCache>
                <c:formatCode>General</c:formatCode>
                <c:ptCount val="9"/>
                <c:pt idx="6">
                  <c:v>208.2</c:v>
                </c:pt>
                <c:pt idx="7">
                  <c:v>208.95683679679252</c:v>
                </c:pt>
                <c:pt idx="8">
                  <c:v>209.52225768652539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4D-455F-9E23-9B6990181022}"/>
            </c:ext>
          </c:extLst>
        </c:ser>
        <c:ser>
          <c:idx val="2"/>
          <c:order val="2"/>
          <c:tx>
            <c:strRef>
              <c:f>Sheet3!$D$1</c:f>
              <c:strCache>
                <c:ptCount val="1"/>
                <c:pt idx="0">
                  <c:v>Lower Confidence Bound(share price)</c:v>
                </c:pt>
              </c:strCache>
            </c:strRef>
          </c:tx>
          <c:spPr>
            <a:ln w="12700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Sheet3!$A$2:$A$10</c:f>
              <c:numCache>
                <c:formatCode>d\-mmm\-yy</c:formatCode>
                <c:ptCount val="9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</c:numCache>
            </c:numRef>
          </c:cat>
          <c:val>
            <c:numRef>
              <c:f>Sheet3!$D$2:$D$10</c:f>
              <c:numCache>
                <c:formatCode>General</c:formatCode>
                <c:ptCount val="9"/>
                <c:pt idx="6" formatCode="0.00">
                  <c:v>208.2</c:v>
                </c:pt>
                <c:pt idx="7" formatCode="0.00">
                  <c:v>207.0502795459839</c:v>
                </c:pt>
                <c:pt idx="8" formatCode="0.00">
                  <c:v>207.61569185622844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94D-455F-9E23-9B6990181022}"/>
            </c:ext>
          </c:extLst>
        </c:ser>
        <c:ser>
          <c:idx val="3"/>
          <c:order val="3"/>
          <c:tx>
            <c:strRef>
              <c:f>Sheet3!$E$1</c:f>
              <c:strCache>
                <c:ptCount val="1"/>
                <c:pt idx="0">
                  <c:v>Upper Confidence Bound(share price)</c:v>
                </c:pt>
              </c:strCache>
            </c:strRef>
          </c:tx>
          <c:spPr>
            <a:ln w="12700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Sheet3!$A$2:$A$10</c:f>
              <c:numCache>
                <c:formatCode>d\-mmm\-yy</c:formatCode>
                <c:ptCount val="9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</c:numCache>
            </c:numRef>
          </c:cat>
          <c:val>
            <c:numRef>
              <c:f>Sheet3!$E$2:$E$10</c:f>
              <c:numCache>
                <c:formatCode>General</c:formatCode>
                <c:ptCount val="9"/>
                <c:pt idx="6" formatCode="0.00">
                  <c:v>208.2</c:v>
                </c:pt>
                <c:pt idx="7" formatCode="0.00">
                  <c:v>210.86339404760113</c:v>
                </c:pt>
                <c:pt idx="8" formatCode="0.00">
                  <c:v>211.42882351682235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94D-455F-9E23-9B69901810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6158287"/>
        <c:axId val="404880399"/>
      </c:lineChart>
      <c:catAx>
        <c:axId val="95615828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880399"/>
        <c:crosses val="autoZero"/>
        <c:auto val="1"/>
        <c:lblAlgn val="ctr"/>
        <c:lblOffset val="100"/>
        <c:noMultiLvlLbl val="0"/>
      </c:catAx>
      <c:valAx>
        <c:axId val="404880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6158287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2056641</xdr:colOff>
      <xdr:row>9</xdr:row>
      <xdr:rowOff>37910</xdr:rowOff>
    </xdr:from>
    <xdr:to>
      <xdr:col>13</xdr:col>
      <xdr:colOff>200025</xdr:colOff>
      <xdr:row>24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9425361-3E06-A49A-71E1-07ABB2ED2F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FD17FD-8DF8-4FD6-A245-0935650BAAFB}" name="Table1" displayName="Table1" ref="A1:E10" totalsRowShown="0">
  <autoFilter ref="A1:E10" xr:uid="{50FD17FD-8DF8-4FD6-A245-0935650BAAFB}"/>
  <tableColumns count="5">
    <tableColumn id="1" xr3:uid="{C60F27FD-2BD4-4280-9E3E-003833CD90EB}" name="month " dataDxfId="2"/>
    <tableColumn id="2" xr3:uid="{7159D832-B2F2-4656-A4DC-A25FD55842C0}" name="share price"/>
    <tableColumn id="3" xr3:uid="{4AFC8B6B-C699-429B-BC8A-D1D2FE5F1F27}" name="Forecast(share price)"/>
    <tableColumn id="4" xr3:uid="{7F6B51F9-AF85-47B3-9A68-60B75FD067C8}" name="Lower Confidence Bound(share price)" dataDxfId="1"/>
    <tableColumn id="5" xr3:uid="{87BFFA2B-1EC5-4C32-9842-83C4590A7956}" name="Upper Confidence Bound(share price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ama24@gmail.com" TargetMode="External"/><Relationship Id="rId3" Type="http://schemas.openxmlformats.org/officeDocument/2006/relationships/hyperlink" Target="mailto:su25@gmail.com" TargetMode="External"/><Relationship Id="rId7" Type="http://schemas.openxmlformats.org/officeDocument/2006/relationships/hyperlink" Target="mailto:aji23@gmail.com" TargetMode="External"/><Relationship Id="rId12" Type="http://schemas.openxmlformats.org/officeDocument/2006/relationships/hyperlink" Target="mailto:AJI34@gmail.com" TargetMode="External"/><Relationship Id="rId2" Type="http://schemas.openxmlformats.org/officeDocument/2006/relationships/hyperlink" Target="mailto:am24@gmail.com" TargetMode="External"/><Relationship Id="rId1" Type="http://schemas.openxmlformats.org/officeDocument/2006/relationships/hyperlink" Target="mailto:aj23@gmail.com" TargetMode="External"/><Relationship Id="rId6" Type="http://schemas.openxmlformats.org/officeDocument/2006/relationships/hyperlink" Target="mailto:AJ34@gmail.com" TargetMode="External"/><Relationship Id="rId11" Type="http://schemas.openxmlformats.org/officeDocument/2006/relationships/hyperlink" Target="mailto:AJI23@gmail.com" TargetMode="External"/><Relationship Id="rId5" Type="http://schemas.openxmlformats.org/officeDocument/2006/relationships/hyperlink" Target="mailto:AJ23@gmail.com" TargetMode="External"/><Relationship Id="rId10" Type="http://schemas.openxmlformats.org/officeDocument/2006/relationships/hyperlink" Target="mailto:kir44@gmail.com" TargetMode="External"/><Relationship Id="rId4" Type="http://schemas.openxmlformats.org/officeDocument/2006/relationships/hyperlink" Target="mailto:ki44@gmail.com" TargetMode="External"/><Relationship Id="rId9" Type="http://schemas.openxmlformats.org/officeDocument/2006/relationships/hyperlink" Target="mailto:sum25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4DBD1-E06F-4672-A662-AC7E0B924146}">
  <dimension ref="A1:E10"/>
  <sheetViews>
    <sheetView zoomScale="82" workbookViewId="0">
      <selection activeCell="D23" sqref="D23:D25"/>
    </sheetView>
  </sheetViews>
  <sheetFormatPr defaultRowHeight="14.5" x14ac:dyDescent="0.35"/>
  <cols>
    <col min="1" max="1" width="9.7265625" bestFit="1" customWidth="1"/>
    <col min="2" max="2" width="12" customWidth="1"/>
    <col min="3" max="3" width="20.36328125" customWidth="1"/>
    <col min="4" max="4" width="34.08984375" customWidth="1"/>
    <col min="5" max="5" width="34.1796875" customWidth="1"/>
  </cols>
  <sheetData>
    <row r="1" spans="1:5" x14ac:dyDescent="0.35">
      <c r="A1" t="s">
        <v>43</v>
      </c>
      <c r="B1" t="s">
        <v>44</v>
      </c>
      <c r="C1" t="s">
        <v>45</v>
      </c>
      <c r="D1" t="s">
        <v>46</v>
      </c>
      <c r="E1" t="s">
        <v>47</v>
      </c>
    </row>
    <row r="2" spans="1:5" x14ac:dyDescent="0.35">
      <c r="A2" s="9">
        <v>46023</v>
      </c>
      <c r="B2">
        <v>205</v>
      </c>
    </row>
    <row r="3" spans="1:5" x14ac:dyDescent="0.35">
      <c r="A3" s="9">
        <v>46054</v>
      </c>
      <c r="B3">
        <v>206.7</v>
      </c>
    </row>
    <row r="4" spans="1:5" x14ac:dyDescent="0.35">
      <c r="A4" s="9">
        <v>46082</v>
      </c>
      <c r="B4">
        <v>204.3</v>
      </c>
    </row>
    <row r="5" spans="1:5" x14ac:dyDescent="0.35">
      <c r="A5" s="9">
        <v>46113</v>
      </c>
      <c r="B5">
        <v>207.8</v>
      </c>
    </row>
    <row r="6" spans="1:5" x14ac:dyDescent="0.35">
      <c r="A6" s="9">
        <v>46143</v>
      </c>
      <c r="B6">
        <v>208.1</v>
      </c>
    </row>
    <row r="7" spans="1:5" x14ac:dyDescent="0.35">
      <c r="A7" s="9">
        <v>46174</v>
      </c>
      <c r="B7">
        <v>207.9</v>
      </c>
    </row>
    <row r="8" spans="1:5" x14ac:dyDescent="0.35">
      <c r="A8" s="9">
        <v>46204</v>
      </c>
      <c r="B8">
        <v>208.2</v>
      </c>
      <c r="C8">
        <v>208.2</v>
      </c>
      <c r="D8" s="10">
        <v>208.2</v>
      </c>
      <c r="E8" s="10">
        <v>208.2</v>
      </c>
    </row>
    <row r="9" spans="1:5" x14ac:dyDescent="0.35">
      <c r="A9" s="9">
        <v>46235</v>
      </c>
      <c r="C9">
        <f>_xlfn.FORECAST.ETS(A9,$B$2:$B$8,$A$2:$A$8,1,1)</f>
        <v>208.95683679679252</v>
      </c>
      <c r="D9" s="10">
        <f>C9-_xlfn.FORECAST.ETS.CONFINT(A9,$B$2:$B$8,$A$2:$A$8,0.95,1,1)</f>
        <v>207.0502795459839</v>
      </c>
      <c r="E9" s="10">
        <f>C9+_xlfn.FORECAST.ETS.CONFINT(A9,$B$2:$B$8,$A$2:$A$8,0.95,1,1)</f>
        <v>210.86339404760113</v>
      </c>
    </row>
    <row r="10" spans="1:5" x14ac:dyDescent="0.35">
      <c r="A10" s="9">
        <v>46266</v>
      </c>
      <c r="C10">
        <f>_xlfn.FORECAST.ETS(A10,$B$2:$B$8,$A$2:$A$8,1,1)</f>
        <v>209.52225768652539</v>
      </c>
      <c r="D10" s="10">
        <f>C10-_xlfn.FORECAST.ETS.CONFINT(A10,$B$2:$B$8,$A$2:$A$8,0.95,1,1)</f>
        <v>207.61569185622844</v>
      </c>
      <c r="E10" s="10">
        <f>C10+_xlfn.FORECAST.ETS.CONFINT(A10,$B$2:$B$8,$A$2:$A$8,0.95,1,1)</f>
        <v>211.42882351682235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F7C91-6B57-44BC-9223-39A3F1B9349F}">
  <dimension ref="A1:L37"/>
  <sheetViews>
    <sheetView tabSelected="1" topLeftCell="A6" workbookViewId="0">
      <selection activeCell="D10" sqref="D10:D19"/>
    </sheetView>
  </sheetViews>
  <sheetFormatPr defaultRowHeight="14.5" x14ac:dyDescent="0.35"/>
  <cols>
    <col min="1" max="1" width="9.7265625" bestFit="1" customWidth="1"/>
    <col min="3" max="3" width="10" bestFit="1" customWidth="1"/>
    <col min="6" max="6" width="11.453125" bestFit="1" customWidth="1"/>
    <col min="7" max="7" width="15.90625" bestFit="1" customWidth="1"/>
    <col min="8" max="8" width="15.90625" customWidth="1"/>
    <col min="10" max="10" width="37.08984375" bestFit="1" customWidth="1"/>
    <col min="11" max="11" width="17" bestFit="1" customWidth="1"/>
  </cols>
  <sheetData>
    <row r="1" spans="1:12" x14ac:dyDescent="0.35">
      <c r="A1" s="1" t="s">
        <v>5</v>
      </c>
      <c r="B1" s="1" t="s">
        <v>6</v>
      </c>
      <c r="C1" s="1" t="s">
        <v>0</v>
      </c>
      <c r="D1" s="1" t="s">
        <v>1</v>
      </c>
      <c r="E1" s="1" t="s">
        <v>9</v>
      </c>
      <c r="F1" s="1" t="s">
        <v>10</v>
      </c>
      <c r="G1" s="5" t="s">
        <v>39</v>
      </c>
      <c r="H1" s="11" t="s">
        <v>64</v>
      </c>
      <c r="K1" s="6" t="s">
        <v>40</v>
      </c>
      <c r="L1" s="11" t="s">
        <v>65</v>
      </c>
    </row>
    <row r="2" spans="1:12" x14ac:dyDescent="0.35">
      <c r="A2" s="2">
        <v>1</v>
      </c>
      <c r="B2" s="2">
        <v>23</v>
      </c>
      <c r="C2" s="2" t="s">
        <v>2</v>
      </c>
      <c r="D2" s="2">
        <v>40000</v>
      </c>
      <c r="E2" s="3">
        <f>D2*5%</f>
        <v>2000</v>
      </c>
      <c r="F2" s="3">
        <f>D2+E2</f>
        <v>42000</v>
      </c>
      <c r="G2" s="4" t="s">
        <v>25</v>
      </c>
      <c r="H2" s="12" t="str">
        <f>IF(F2&gt;=47000,"extraordinary","average")</f>
        <v>average</v>
      </c>
      <c r="I2" t="s">
        <v>13</v>
      </c>
      <c r="J2" t="s">
        <v>14</v>
      </c>
      <c r="K2" s="4" t="s">
        <v>31</v>
      </c>
      <c r="L2" t="str">
        <f>IF(F2&gt;=55000,"Excellent salary",IF(F2&gt;=50000,"regular salary",IF(F2&gt;45000,"Normal salary","less salary")))</f>
        <v>less salary</v>
      </c>
    </row>
    <row r="3" spans="1:12" x14ac:dyDescent="0.35">
      <c r="A3" s="2">
        <v>2</v>
      </c>
      <c r="B3" s="2">
        <v>24</v>
      </c>
      <c r="C3" s="2" t="s">
        <v>3</v>
      </c>
      <c r="D3" s="2">
        <v>45000</v>
      </c>
      <c r="E3" s="3">
        <f t="shared" ref="E3:E7" si="0">D3*5%</f>
        <v>2250</v>
      </c>
      <c r="F3" s="3">
        <f t="shared" ref="F3:F7" si="1">D3+E3</f>
        <v>47250</v>
      </c>
      <c r="G3" s="4" t="s">
        <v>26</v>
      </c>
      <c r="H3" s="12" t="str">
        <f t="shared" ref="H3:H7" si="2">IF(F3&gt;=47000,"extraordinary","average")</f>
        <v>extraordinary</v>
      </c>
      <c r="I3" t="s">
        <v>7</v>
      </c>
      <c r="J3" t="s">
        <v>8</v>
      </c>
      <c r="K3" s="4" t="s">
        <v>32</v>
      </c>
      <c r="L3" t="str">
        <f t="shared" ref="L3:L7" si="3">IF(F3&gt;=55000,"Excellent salary",IF(F3&gt;=50000,"regular salary",IF(F3&gt;45000,"Normal salary","less salary")))</f>
        <v>Normal salary</v>
      </c>
    </row>
    <row r="4" spans="1:12" x14ac:dyDescent="0.35">
      <c r="A4" s="2">
        <v>3</v>
      </c>
      <c r="B4" s="2">
        <v>25</v>
      </c>
      <c r="C4" s="2" t="s">
        <v>4</v>
      </c>
      <c r="D4" s="2">
        <v>23000</v>
      </c>
      <c r="E4" s="3">
        <f t="shared" si="0"/>
        <v>1150</v>
      </c>
      <c r="F4" s="3">
        <f t="shared" si="1"/>
        <v>24150</v>
      </c>
      <c r="G4" s="4" t="s">
        <v>27</v>
      </c>
      <c r="H4" s="12" t="str">
        <f t="shared" si="2"/>
        <v>average</v>
      </c>
      <c r="I4" t="s">
        <v>11</v>
      </c>
      <c r="J4" t="s">
        <v>12</v>
      </c>
      <c r="K4" s="4" t="s">
        <v>33</v>
      </c>
      <c r="L4" t="str">
        <f t="shared" si="3"/>
        <v>less salary</v>
      </c>
    </row>
    <row r="5" spans="1:12" x14ac:dyDescent="0.35">
      <c r="A5" s="2">
        <v>4</v>
      </c>
      <c r="B5" s="2">
        <v>44</v>
      </c>
      <c r="C5" s="2" t="s">
        <v>17</v>
      </c>
      <c r="D5" s="2">
        <v>50000</v>
      </c>
      <c r="E5" s="3">
        <f t="shared" si="0"/>
        <v>2500</v>
      </c>
      <c r="F5" s="3">
        <f t="shared" si="1"/>
        <v>52500</v>
      </c>
      <c r="G5" s="4" t="s">
        <v>28</v>
      </c>
      <c r="H5" s="12" t="str">
        <f t="shared" si="2"/>
        <v>extraordinary</v>
      </c>
      <c r="I5" t="s">
        <v>15</v>
      </c>
      <c r="J5" t="s">
        <v>16</v>
      </c>
      <c r="K5" s="4" t="s">
        <v>34</v>
      </c>
      <c r="L5" t="str">
        <f t="shared" si="3"/>
        <v>regular salary</v>
      </c>
    </row>
    <row r="6" spans="1:12" x14ac:dyDescent="0.35">
      <c r="A6" s="2">
        <v>5</v>
      </c>
      <c r="B6" s="2">
        <v>23</v>
      </c>
      <c r="C6" s="2" t="s">
        <v>19</v>
      </c>
      <c r="D6" s="2">
        <v>25000</v>
      </c>
      <c r="E6" s="3">
        <f t="shared" si="0"/>
        <v>1250</v>
      </c>
      <c r="F6" s="3">
        <f t="shared" si="1"/>
        <v>26250</v>
      </c>
      <c r="G6" s="4" t="s">
        <v>29</v>
      </c>
      <c r="H6" s="12" t="str">
        <f t="shared" si="2"/>
        <v>average</v>
      </c>
      <c r="I6" t="s">
        <v>21</v>
      </c>
      <c r="J6" t="s">
        <v>22</v>
      </c>
      <c r="K6" s="4" t="s">
        <v>35</v>
      </c>
      <c r="L6" t="str">
        <f t="shared" si="3"/>
        <v>less salary</v>
      </c>
    </row>
    <row r="7" spans="1:12" x14ac:dyDescent="0.35">
      <c r="A7" s="2">
        <v>6</v>
      </c>
      <c r="B7" s="2">
        <v>34</v>
      </c>
      <c r="C7" s="2" t="s">
        <v>20</v>
      </c>
      <c r="D7" s="2">
        <v>56000</v>
      </c>
      <c r="E7" s="3">
        <f t="shared" si="0"/>
        <v>2800</v>
      </c>
      <c r="F7" s="3">
        <f t="shared" si="1"/>
        <v>58800</v>
      </c>
      <c r="G7" s="4" t="s">
        <v>30</v>
      </c>
      <c r="H7" s="12" t="str">
        <f t="shared" si="2"/>
        <v>extraordinary</v>
      </c>
      <c r="I7" t="s">
        <v>23</v>
      </c>
      <c r="J7" t="s">
        <v>24</v>
      </c>
      <c r="K7" s="4" t="s">
        <v>36</v>
      </c>
      <c r="L7" t="str">
        <f t="shared" si="3"/>
        <v>Excellent salary</v>
      </c>
    </row>
    <row r="8" spans="1:12" x14ac:dyDescent="0.35">
      <c r="I8" t="s">
        <v>37</v>
      </c>
      <c r="J8" t="s">
        <v>38</v>
      </c>
    </row>
    <row r="9" spans="1:12" x14ac:dyDescent="0.35">
      <c r="A9" s="1" t="s">
        <v>5</v>
      </c>
      <c r="B9" s="1" t="s">
        <v>0</v>
      </c>
      <c r="C9" t="s">
        <v>41</v>
      </c>
      <c r="F9">
        <v>100</v>
      </c>
    </row>
    <row r="10" spans="1:12" x14ac:dyDescent="0.35">
      <c r="A10" s="2">
        <v>1</v>
      </c>
      <c r="B10" s="2" t="s">
        <v>2</v>
      </c>
      <c r="C10" s="7">
        <v>10</v>
      </c>
      <c r="D10" s="13">
        <f>C10/$F$9</f>
        <v>0.1</v>
      </c>
    </row>
    <row r="11" spans="1:12" x14ac:dyDescent="0.35">
      <c r="A11" s="2">
        <v>2</v>
      </c>
      <c r="B11" s="2" t="s">
        <v>3</v>
      </c>
      <c r="C11" s="7">
        <v>15</v>
      </c>
      <c r="D11" s="13">
        <f t="shared" ref="D11:D19" si="4">C11/$F$9</f>
        <v>0.15</v>
      </c>
    </row>
    <row r="12" spans="1:12" x14ac:dyDescent="0.35">
      <c r="A12" s="2">
        <v>3</v>
      </c>
      <c r="B12" s="2" t="s">
        <v>4</v>
      </c>
      <c r="C12" s="7">
        <v>35</v>
      </c>
      <c r="D12" s="13">
        <f t="shared" si="4"/>
        <v>0.35</v>
      </c>
      <c r="E12" t="e" cm="1">
        <f t="array" ref="E12">SU</f>
        <v>#NAME?</v>
      </c>
    </row>
    <row r="13" spans="1:12" x14ac:dyDescent="0.35">
      <c r="A13" s="2">
        <v>4</v>
      </c>
      <c r="B13" s="2" t="s">
        <v>17</v>
      </c>
      <c r="C13" s="7">
        <v>20</v>
      </c>
      <c r="D13" s="13">
        <f t="shared" si="4"/>
        <v>0.2</v>
      </c>
      <c r="E13">
        <v>51</v>
      </c>
      <c r="F13" t="str">
        <f ca="1">_xlfn.FORMULATEXT(H2)</f>
        <v>=IF(F2&gt;=47000,"extraordinary","average")</v>
      </c>
    </row>
    <row r="14" spans="1:12" x14ac:dyDescent="0.35">
      <c r="A14" s="2">
        <v>5</v>
      </c>
      <c r="B14" s="2" t="s">
        <v>19</v>
      </c>
      <c r="C14" s="7">
        <v>30</v>
      </c>
      <c r="D14" s="13">
        <f t="shared" si="4"/>
        <v>0.3</v>
      </c>
      <c r="E14">
        <v>52</v>
      </c>
      <c r="F14" t="str">
        <f t="shared" ref="F14:F19" ca="1" si="5">_xlfn.FORMULATEXT(H3)</f>
        <v>=IF(F3&gt;=47000,"extraordinary","average")</v>
      </c>
    </row>
    <row r="15" spans="1:12" x14ac:dyDescent="0.35">
      <c r="A15" s="2">
        <v>6</v>
      </c>
      <c r="B15" s="2" t="s">
        <v>20</v>
      </c>
      <c r="C15" s="7">
        <v>40</v>
      </c>
      <c r="D15" s="13">
        <f t="shared" si="4"/>
        <v>0.4</v>
      </c>
      <c r="E15">
        <v>53</v>
      </c>
      <c r="F15" t="str">
        <f t="shared" ca="1" si="5"/>
        <v>=IF(F4&gt;=47000,"extraordinary","average")</v>
      </c>
    </row>
    <row r="16" spans="1:12" x14ac:dyDescent="0.35">
      <c r="A16" s="2">
        <v>1</v>
      </c>
      <c r="B16" s="2" t="s">
        <v>2</v>
      </c>
      <c r="C16" s="7">
        <v>10</v>
      </c>
      <c r="D16" s="13">
        <f t="shared" si="4"/>
        <v>0.1</v>
      </c>
      <c r="E16">
        <v>54</v>
      </c>
      <c r="F16" t="str">
        <f t="shared" ca="1" si="5"/>
        <v>=IF(F5&gt;=47000,"extraordinary","average")</v>
      </c>
    </row>
    <row r="17" spans="1:6" x14ac:dyDescent="0.35">
      <c r="A17" s="2">
        <v>2</v>
      </c>
      <c r="B17" s="2" t="s">
        <v>3</v>
      </c>
      <c r="C17" s="7">
        <v>65</v>
      </c>
      <c r="D17" s="13">
        <f t="shared" si="4"/>
        <v>0.65</v>
      </c>
      <c r="E17">
        <v>51</v>
      </c>
      <c r="F17" t="str">
        <f t="shared" ca="1" si="5"/>
        <v>=IF(F6&gt;=47000,"extraordinary","average")</v>
      </c>
    </row>
    <row r="18" spans="1:6" x14ac:dyDescent="0.35">
      <c r="A18" s="2">
        <v>1</v>
      </c>
      <c r="B18" s="2" t="s">
        <v>2</v>
      </c>
      <c r="C18" s="7">
        <v>10</v>
      </c>
      <c r="D18" s="13">
        <f t="shared" si="4"/>
        <v>0.1</v>
      </c>
      <c r="E18">
        <v>52</v>
      </c>
      <c r="F18" t="str">
        <f t="shared" ca="1" si="5"/>
        <v>=IF(F7&gt;=47000,"extraordinary","average")</v>
      </c>
    </row>
    <row r="19" spans="1:6" x14ac:dyDescent="0.35">
      <c r="A19" s="8">
        <v>5</v>
      </c>
      <c r="B19" s="8" t="s">
        <v>42</v>
      </c>
      <c r="C19" s="7">
        <v>50</v>
      </c>
      <c r="D19" s="13">
        <f t="shared" si="4"/>
        <v>0.5</v>
      </c>
      <c r="E19">
        <v>59</v>
      </c>
      <c r="F19" t="e">
        <f t="shared" ca="1" si="5"/>
        <v>#N/A</v>
      </c>
    </row>
    <row r="22" spans="1:6" x14ac:dyDescent="0.35">
      <c r="A22" t="s">
        <v>43</v>
      </c>
      <c r="B22" s="7" t="s">
        <v>44</v>
      </c>
    </row>
    <row r="23" spans="1:6" x14ac:dyDescent="0.35">
      <c r="A23" s="9">
        <v>46023</v>
      </c>
      <c r="B23">
        <v>205</v>
      </c>
    </row>
    <row r="24" spans="1:6" x14ac:dyDescent="0.35">
      <c r="A24" s="9">
        <v>46054</v>
      </c>
      <c r="B24">
        <v>206.7</v>
      </c>
    </row>
    <row r="25" spans="1:6" x14ac:dyDescent="0.35">
      <c r="A25" s="9">
        <v>46082</v>
      </c>
      <c r="B25">
        <v>204.3</v>
      </c>
    </row>
    <row r="26" spans="1:6" x14ac:dyDescent="0.35">
      <c r="A26" s="9">
        <v>46113</v>
      </c>
      <c r="B26">
        <v>207.8</v>
      </c>
    </row>
    <row r="27" spans="1:6" x14ac:dyDescent="0.35">
      <c r="A27" s="9">
        <v>46143</v>
      </c>
      <c r="B27">
        <v>208.1</v>
      </c>
    </row>
    <row r="28" spans="1:6" x14ac:dyDescent="0.35">
      <c r="A28" s="9">
        <v>46174</v>
      </c>
      <c r="B28">
        <v>207.9</v>
      </c>
    </row>
    <row r="29" spans="1:6" x14ac:dyDescent="0.35">
      <c r="A29" s="9">
        <v>46204</v>
      </c>
      <c r="B29">
        <v>208.2</v>
      </c>
    </row>
    <row r="30" spans="1:6" x14ac:dyDescent="0.35">
      <c r="A30" s="9">
        <v>46235</v>
      </c>
    </row>
    <row r="37" spans="6:9" x14ac:dyDescent="0.35">
      <c r="F37">
        <v>10</v>
      </c>
      <c r="G37">
        <v>5</v>
      </c>
      <c r="I37">
        <f>F37*G37</f>
        <v>50</v>
      </c>
    </row>
  </sheetData>
  <phoneticPr fontId="2" type="noConversion"/>
  <hyperlinks>
    <hyperlink ref="G2" r:id="rId1" xr:uid="{F44AB6D1-D214-413A-8790-3FDBA644BA0B}"/>
    <hyperlink ref="G3" r:id="rId2" xr:uid="{1D8DB630-6B6A-4DA0-A978-B4FD4C328134}"/>
    <hyperlink ref="G4" r:id="rId3" xr:uid="{A803CFCA-A472-40A2-8407-1BC6130CB872}"/>
    <hyperlink ref="G5" r:id="rId4" xr:uid="{77CE4FCA-2919-4415-9C17-694768B2EBF0}"/>
    <hyperlink ref="G6" r:id="rId5" xr:uid="{7F7B7DED-F3FB-437A-BA87-7EC418148225}"/>
    <hyperlink ref="G7" r:id="rId6" xr:uid="{C4985332-BA31-4F46-B2BC-E758F7EDEF22}"/>
    <hyperlink ref="K2" r:id="rId7" xr:uid="{FE092D4F-65DC-4F04-A21A-C17CB1E10C40}"/>
    <hyperlink ref="K3" r:id="rId8" xr:uid="{1CEE6724-62D8-401B-88A2-C22863B4DD7C}"/>
    <hyperlink ref="K4" r:id="rId9" xr:uid="{706E93D7-1828-44A4-823B-7817A9A53D1B}"/>
    <hyperlink ref="K5" r:id="rId10" xr:uid="{AF606569-9795-45E2-92D5-74E21A633DF7}"/>
    <hyperlink ref="K6" r:id="rId11" xr:uid="{909BADDA-4B17-45DB-9905-51665FA9A6B8}"/>
    <hyperlink ref="K7" r:id="rId12" xr:uid="{2DDDA12C-E26E-4482-9FFF-46BD2A62A26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7746D-82B2-4AF9-B346-E34314EDFCE9}">
  <dimension ref="A1:F9"/>
  <sheetViews>
    <sheetView workbookViewId="0">
      <selection activeCell="E9" sqref="E9"/>
    </sheetView>
  </sheetViews>
  <sheetFormatPr defaultRowHeight="14.5" x14ac:dyDescent="0.35"/>
  <cols>
    <col min="1" max="1" width="10.1796875" bestFit="1" customWidth="1"/>
  </cols>
  <sheetData>
    <row r="1" spans="1:6" x14ac:dyDescent="0.35">
      <c r="A1" t="s">
        <v>48</v>
      </c>
      <c r="B1" t="s">
        <v>49</v>
      </c>
      <c r="C1" t="s">
        <v>50</v>
      </c>
      <c r="D1" t="s">
        <v>51</v>
      </c>
      <c r="E1" t="s">
        <v>52</v>
      </c>
      <c r="F1" t="s">
        <v>53</v>
      </c>
    </row>
    <row r="2" spans="1:6" x14ac:dyDescent="0.35">
      <c r="A2" t="s">
        <v>54</v>
      </c>
      <c r="B2" t="s">
        <v>60</v>
      </c>
      <c r="C2" t="s">
        <v>62</v>
      </c>
      <c r="D2">
        <v>40</v>
      </c>
      <c r="E2">
        <v>2</v>
      </c>
      <c r="F2">
        <f>D2*E2</f>
        <v>80</v>
      </c>
    </row>
    <row r="3" spans="1:6" x14ac:dyDescent="0.35">
      <c r="A3" t="s">
        <v>55</v>
      </c>
      <c r="B3" t="s">
        <v>61</v>
      </c>
      <c r="C3" t="s">
        <v>62</v>
      </c>
      <c r="D3">
        <v>120</v>
      </c>
      <c r="E3">
        <v>2</v>
      </c>
      <c r="F3">
        <f t="shared" ref="F3:F7" si="0">D3*E3</f>
        <v>240</v>
      </c>
    </row>
    <row r="4" spans="1:6" x14ac:dyDescent="0.35">
      <c r="A4" t="s">
        <v>56</v>
      </c>
      <c r="B4" t="s">
        <v>60</v>
      </c>
      <c r="C4" t="s">
        <v>63</v>
      </c>
      <c r="D4">
        <v>60</v>
      </c>
      <c r="E4">
        <v>4</v>
      </c>
      <c r="F4">
        <f t="shared" si="0"/>
        <v>240</v>
      </c>
    </row>
    <row r="5" spans="1:6" x14ac:dyDescent="0.35">
      <c r="A5" t="s">
        <v>57</v>
      </c>
      <c r="B5" t="s">
        <v>61</v>
      </c>
      <c r="C5" t="s">
        <v>63</v>
      </c>
      <c r="D5">
        <v>100</v>
      </c>
      <c r="E5">
        <v>3</v>
      </c>
      <c r="F5">
        <f t="shared" si="0"/>
        <v>300</v>
      </c>
    </row>
    <row r="6" spans="1:6" x14ac:dyDescent="0.35">
      <c r="A6" t="s">
        <v>58</v>
      </c>
      <c r="B6" t="s">
        <v>61</v>
      </c>
      <c r="C6" t="s">
        <v>62</v>
      </c>
      <c r="D6">
        <v>120</v>
      </c>
      <c r="E6">
        <v>6</v>
      </c>
      <c r="F6">
        <f t="shared" si="0"/>
        <v>720</v>
      </c>
    </row>
    <row r="7" spans="1:6" x14ac:dyDescent="0.35">
      <c r="A7" t="s">
        <v>59</v>
      </c>
      <c r="B7" t="s">
        <v>61</v>
      </c>
      <c r="C7" t="s">
        <v>63</v>
      </c>
      <c r="D7">
        <v>25</v>
      </c>
      <c r="E7">
        <v>2</v>
      </c>
      <c r="F7">
        <f t="shared" si="0"/>
        <v>50</v>
      </c>
    </row>
    <row r="9" spans="1:6" x14ac:dyDescent="0.35">
      <c r="E9">
        <f>SUMIFS(F1:F7,C1:C7,"vegetable",B1:B7,"Frozen")</f>
        <v>350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9B52F7-51EE-405D-BCBB-1E1AB8E099F6}">
  <dimension ref="D4"/>
  <sheetViews>
    <sheetView topLeftCell="A3" workbookViewId="0">
      <selection activeCell="B6" sqref="B6"/>
    </sheetView>
  </sheetViews>
  <sheetFormatPr defaultRowHeight="14.5" x14ac:dyDescent="0.35"/>
  <sheetData>
    <row r="4" spans="4:4" x14ac:dyDescent="0.35">
      <c r="D4" t="s"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Sheet3</vt:lpstr>
      <vt:lpstr>Sheet1</vt:lpstr>
      <vt:lpstr>Sheet4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akshita chidapareddi</dc:creator>
  <cp:lastModifiedBy>akshita chidapareddi</cp:lastModifiedBy>
  <dcterms:created xsi:type="dcterms:W3CDTF">2026-08-07T04:41:11Z</dcterms:created>
  <dcterms:modified xsi:type="dcterms:W3CDTF">2026-08-14T05:49:52Z</dcterms:modified>
</cp:coreProperties>
</file>